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et" sheetId="1" state="visible" r:id="rId1"/>
    <sheet xmlns:r="http://schemas.openxmlformats.org/officeDocument/2006/relationships" name="Tool Summary" sheetId="2" state="visible" r:id="rId2"/>
    <sheet xmlns:r="http://schemas.openxmlformats.org/officeDocument/2006/relationships" name="How to use" sheetId="3" state="visible" r:id="rId3"/>
  </sheets>
  <definedNames>
    <definedName name="_xlnm._FilterDatabase" localSheetId="0" hidden="1">'Literature Set'!$A$1:$Q$39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6" customWidth="1" min="4" max="4"/>
    <col width="30" customWidth="1" min="5" max="5"/>
    <col width="12" customWidth="1" min="6" max="6"/>
    <col width="10" customWidth="1" min="7" max="7"/>
    <col width="12" customWidth="1" min="8" max="8"/>
    <col width="10" customWidth="1" min="9" max="9"/>
    <col width="7" customWidth="1" min="10" max="10"/>
    <col width="20" customWidth="1" min="11" max="11"/>
    <col width="30" customWidth="1" min="12" max="12"/>
    <col width="12" customWidth="1" min="13" max="13"/>
    <col width="42" customWidth="1" min="14" max="14"/>
    <col width="14" customWidth="1" min="15" max="15"/>
    <col width="10" customWidth="1" min="16" max="16"/>
    <col width="40" customWidth="1" min="17" max="17"/>
  </cols>
  <sheetData>
    <row r="1">
      <c r="A1" s="1" t="inlineStr">
        <is>
          <t>Paper ID</t>
        </is>
      </c>
      <c r="B1" s="1" t="inlineStr">
        <is>
          <t>Title</t>
        </is>
      </c>
      <c r="C1" s="1" t="inlineStr">
        <is>
          <t>First author</t>
        </is>
      </c>
      <c r="D1" s="1" t="inlineStr">
        <is>
          <t>Year</t>
        </is>
      </c>
      <c r="E1" s="1" t="inlineStr">
        <is>
          <t>DOI / ID</t>
        </is>
      </c>
      <c r="F1" s="1" t="inlineStr">
        <is>
          <t>Found by ResearchRabbit</t>
        </is>
      </c>
      <c r="G1" s="1" t="inlineStr">
        <is>
          <t>Found by Litmaps</t>
        </is>
      </c>
      <c r="H1" s="1" t="inlineStr">
        <is>
          <t>Found by Semantic Scholar</t>
        </is>
      </c>
      <c r="I1" s="1" t="inlineStr">
        <is>
          <t>Found by Elicit</t>
        </is>
      </c>
      <c r="J1" s="1" t="inlineStr">
        <is>
          <t># Tools</t>
        </is>
      </c>
      <c r="K1" s="1" t="inlineStr">
        <is>
          <t>Unique to one tool?</t>
        </is>
      </c>
      <c r="L1" s="1" t="inlineStr">
        <is>
          <t>Theme</t>
        </is>
      </c>
      <c r="M1" s="1" t="inlineStr">
        <is>
          <t>Type</t>
        </is>
      </c>
      <c r="N1" s="1" t="inlineStr">
        <is>
          <t>Why important for the review</t>
        </is>
      </c>
      <c r="O1" s="1" t="inlineStr">
        <is>
          <t>Prior source (Lab 1/2)</t>
        </is>
      </c>
      <c r="P1" s="1" t="inlineStr">
        <is>
          <t>Included?</t>
        </is>
      </c>
      <c r="Q1" s="1" t="inlineStr">
        <is>
          <t>Notes</t>
        </is>
      </c>
    </row>
    <row r="2">
      <c r="A2" s="2" t="inlineStr">
        <is>
          <t>P01</t>
        </is>
      </c>
      <c r="B2" s="2" t="inlineStr">
        <is>
          <t>Artificial intelligence in multidisciplinary tumor boards enhancing decision making and clinical outcomes in oncology</t>
        </is>
      </c>
      <c r="C2" s="2" t="inlineStr">
        <is>
          <t>Wang X</t>
        </is>
      </c>
      <c r="D2" s="2" t="n">
        <v>2025</v>
      </c>
      <c r="E2" s="2" t="inlineStr">
        <is>
          <t>10.1016/j.isci.2025.114082</t>
        </is>
      </c>
      <c r="F2" s="3" t="inlineStr">
        <is>
          <t>Y</t>
        </is>
      </c>
      <c r="G2" s="3" t="inlineStr"/>
      <c r="H2" s="3" t="inlineStr"/>
      <c r="I2" s="3" t="inlineStr"/>
      <c r="J2" s="2">
        <f>COUNTIF(F2:I2,"Y")</f>
        <v/>
      </c>
      <c r="K2" s="2">
        <f>IF(J2=1,INDEX($F$1:$I$1,MATCH("Y",F2:I2,0)),"")</f>
        <v/>
      </c>
      <c r="L2" s="2" t="inlineStr">
        <is>
          <t>T1 MTB/VTB foundations &amp; implementation</t>
        </is>
      </c>
      <c r="M2" s="2" t="inlineStr">
        <is>
          <t>Recent</t>
        </is>
      </c>
      <c r="N2" s="2" t="inlineStr">
        <is>
          <t>Review of AI roles across MTB workflow; framing paper</t>
        </is>
      </c>
      <c r="O2" s="2" t="inlineStr">
        <is>
          <t>Lab1 seed</t>
        </is>
      </c>
      <c r="P2" s="2" t="inlineStr"/>
      <c r="Q2" s="2" t="inlineStr"/>
    </row>
    <row r="3">
      <c r="A3" s="2" t="inlineStr">
        <is>
          <t>P02</t>
        </is>
      </c>
      <c r="B3" s="2" t="inlineStr">
        <is>
          <t>The Fidelity of Artificial Intelligence to Multidisciplinary Tumor Board Recommendations for Patients with Gastric Cancer: A Retrospective Study</t>
        </is>
      </c>
      <c r="C3" s="2" t="inlineStr">
        <is>
          <t>Park YE</t>
        </is>
      </c>
      <c r="D3" s="2" t="n">
        <v>2023</v>
      </c>
      <c r="E3" s="2" t="inlineStr">
        <is>
          <t>10.1007/s12029-023-00967-8</t>
        </is>
      </c>
      <c r="F3" s="3" t="inlineStr">
        <is>
          <t>Y</t>
        </is>
      </c>
      <c r="G3" s="3" t="inlineStr"/>
      <c r="H3" s="3" t="inlineStr"/>
      <c r="I3" s="3" t="inlineStr"/>
      <c r="J3" s="2">
        <f>COUNTIF(F3:I3,"Y")</f>
        <v/>
      </c>
      <c r="K3" s="2">
        <f>IF(J3=1,INDEX($F$1:$I$1,MATCH("Y",F3:I3,0)),"")</f>
        <v/>
      </c>
      <c r="L3" s="2" t="inlineStr">
        <is>
          <t>T2 Single-LLM vs MTB concordance</t>
        </is>
      </c>
      <c r="M3" s="2" t="inlineStr">
        <is>
          <t>Influential</t>
        </is>
      </c>
      <c r="N3" s="2" t="inlineStr">
        <is>
          <t>Single-AI vs MTB concordance, gastric cancer</t>
        </is>
      </c>
      <c r="O3" s="2" t="inlineStr">
        <is>
          <t>Lab1 seed</t>
        </is>
      </c>
      <c r="P3" s="2" t="inlineStr"/>
      <c r="Q3" s="2" t="inlineStr"/>
    </row>
    <row r="4">
      <c r="A4" s="2" t="inlineStr">
        <is>
          <t>P03</t>
        </is>
      </c>
      <c r="B4" s="2" t="inlineStr">
        <is>
          <t>EvoMDT: a self-evolving multi-agent system for structured clinical decision-making in multi-cancer</t>
        </is>
      </c>
      <c r="C4" s="2" t="inlineStr">
        <is>
          <t>Liu Q</t>
        </is>
      </c>
      <c r="D4" s="2" t="n">
        <v>2026</v>
      </c>
      <c r="E4" s="2" t="inlineStr">
        <is>
          <t>10.1038/s41746-025-02304-8</t>
        </is>
      </c>
      <c r="F4" s="3" t="inlineStr">
        <is>
          <t>Y</t>
        </is>
      </c>
      <c r="G4" s="3" t="inlineStr"/>
      <c r="H4" s="3" t="inlineStr"/>
      <c r="I4" s="3" t="inlineStr"/>
      <c r="J4" s="2">
        <f>COUNTIF(F4:I4,"Y")</f>
        <v/>
      </c>
      <c r="K4" s="2">
        <f>IF(J4=1,INDEX($F$1:$I$1,MATCH("Y",F4:I4,0)),"")</f>
        <v/>
      </c>
      <c r="L4" s="2" t="inlineStr">
        <is>
          <t>T3 Multi-agent LLM systems</t>
        </is>
      </c>
      <c r="M4" s="2" t="inlineStr">
        <is>
          <t>Recent</t>
        </is>
      </c>
      <c r="N4" s="2" t="inlineStr">
        <is>
          <t>Core multi-agent MDT system; self-evolving agents</t>
        </is>
      </c>
      <c r="O4" s="2" t="inlineStr">
        <is>
          <t>Lab1 seed</t>
        </is>
      </c>
      <c r="P4" s="2" t="inlineStr"/>
      <c r="Q4" s="2" t="inlineStr"/>
    </row>
    <row r="5">
      <c r="A5" s="2" t="inlineStr">
        <is>
          <t>P04</t>
        </is>
      </c>
      <c r="B5" s="2" t="inlineStr">
        <is>
          <t>National Cancer Grid Virtual Tumor Boards of Head and Neck Cancers: An Innovative Approach to Multidisciplinary Care</t>
        </is>
      </c>
      <c r="C5" s="2" t="inlineStr">
        <is>
          <t>Thiagarajan S</t>
        </is>
      </c>
      <c r="D5" s="2" t="n">
        <v>2023</v>
      </c>
      <c r="E5" s="2" t="inlineStr">
        <is>
          <t>10.1200/GO.22.00348</t>
        </is>
      </c>
      <c r="F5" s="3" t="inlineStr">
        <is>
          <t>Y</t>
        </is>
      </c>
      <c r="G5" s="3" t="inlineStr"/>
      <c r="H5" s="3" t="inlineStr"/>
      <c r="I5" s="3" t="inlineStr"/>
      <c r="J5" s="2">
        <f>COUNTIF(F5:I5,"Y")</f>
        <v/>
      </c>
      <c r="K5" s="2">
        <f>IF(J5=1,INDEX($F$1:$I$1,MATCH("Y",F5:I5,0)),"")</f>
        <v/>
      </c>
      <c r="L5" s="2" t="inlineStr">
        <is>
          <t>T1 MTB/VTB foundations &amp; implementation</t>
        </is>
      </c>
      <c r="M5" s="2" t="inlineStr">
        <is>
          <t>Influential</t>
        </is>
      </c>
      <c r="N5" s="2" t="inlineStr">
        <is>
          <t>Large-scale VTB in LMIC (India) setting</t>
        </is>
      </c>
      <c r="O5" s="2" t="inlineStr">
        <is>
          <t>Lab1 seed</t>
        </is>
      </c>
      <c r="P5" s="2" t="inlineStr"/>
      <c r="Q5" s="2" t="inlineStr"/>
    </row>
    <row r="6">
      <c r="A6" s="2" t="inlineStr">
        <is>
          <t>P05</t>
        </is>
      </c>
      <c r="B6" s="2" t="inlineStr">
        <is>
          <t>The Emergence of Virtual Tumor Boards in Neuro-Oncology: Opportunities and Challenges</t>
        </is>
      </c>
      <c r="C6" s="2" t="inlineStr">
        <is>
          <t>Ekhator C</t>
        </is>
      </c>
      <c r="D6" s="2" t="n">
        <v>2022</v>
      </c>
      <c r="E6" s="2" t="inlineStr">
        <is>
          <t>10.7759/cureus.25682</t>
        </is>
      </c>
      <c r="F6" s="3" t="inlineStr">
        <is>
          <t>Y</t>
        </is>
      </c>
      <c r="G6" s="3" t="inlineStr"/>
      <c r="H6" s="3" t="inlineStr"/>
      <c r="I6" s="3" t="inlineStr"/>
      <c r="J6" s="2">
        <f>COUNTIF(F6:I6,"Y")</f>
        <v/>
      </c>
      <c r="K6" s="2">
        <f>IF(J6=1,INDEX($F$1:$I$1,MATCH("Y",F6:I6,0)),"")</f>
        <v/>
      </c>
      <c r="L6" s="2" t="inlineStr">
        <is>
          <t>T1 MTB/VTB foundations &amp; implementation</t>
        </is>
      </c>
      <c r="M6" s="2" t="inlineStr">
        <is>
          <t>Influential</t>
        </is>
      </c>
      <c r="N6" s="2" t="inlineStr">
        <is>
          <t>VTB opportunities/challenges, neuro-oncology</t>
        </is>
      </c>
      <c r="O6" s="2" t="inlineStr">
        <is>
          <t>Lab1 seed</t>
        </is>
      </c>
      <c r="P6" s="2" t="inlineStr"/>
      <c r="Q6" s="2" t="inlineStr"/>
    </row>
    <row r="7">
      <c r="A7" s="2" t="inlineStr">
        <is>
          <t>P06</t>
        </is>
      </c>
      <c r="B7" s="2" t="inlineStr">
        <is>
          <t>Multidisciplinary tumor board decisions and artificial intelligence-generated recommendations in general surgery: a retrospective observational study</t>
        </is>
      </c>
      <c r="C7" s="2" t="inlineStr">
        <is>
          <t>Zengin A</t>
        </is>
      </c>
      <c r="D7" s="2" t="n">
        <v>2026</v>
      </c>
      <c r="E7" s="2" t="inlineStr">
        <is>
          <t>10.1007/s13304-026-02749-w</t>
        </is>
      </c>
      <c r="F7" s="3" t="inlineStr">
        <is>
          <t>Y</t>
        </is>
      </c>
      <c r="G7" s="3" t="inlineStr"/>
      <c r="H7" s="3" t="inlineStr"/>
      <c r="I7" s="3" t="inlineStr"/>
      <c r="J7" s="2">
        <f>COUNTIF(F7:I7,"Y")</f>
        <v/>
      </c>
      <c r="K7" s="2">
        <f>IF(J7=1,INDEX($F$1:$I$1,MATCH("Y",F7:I7,0)),"")</f>
        <v/>
      </c>
      <c r="L7" s="2" t="inlineStr">
        <is>
          <t>T2 Single-LLM vs MTB concordance</t>
        </is>
      </c>
      <c r="M7" s="2" t="inlineStr">
        <is>
          <t>Recent</t>
        </is>
      </c>
      <c r="N7" s="2" t="inlineStr">
        <is>
          <t>Recent LLM vs MTB concordance, surgery</t>
        </is>
      </c>
      <c r="O7" s="2" t="inlineStr">
        <is>
          <t>Lab1 seed</t>
        </is>
      </c>
      <c r="P7" s="2" t="inlineStr"/>
      <c r="Q7" s="2" t="inlineStr"/>
    </row>
    <row r="8">
      <c r="A8" s="2" t="inlineStr">
        <is>
          <t>P07</t>
        </is>
      </c>
      <c r="B8" s="2" t="inlineStr">
        <is>
          <t>Rate of Whole-Breast Hypofractionated Radiation Therapy Before Versus After Virtual Tumor Board Implementation</t>
        </is>
      </c>
      <c r="C8" s="2" t="inlineStr">
        <is>
          <t>Powell AC</t>
        </is>
      </c>
      <c r="D8" s="2" t="n">
        <v>2021</v>
      </c>
      <c r="E8" s="2" t="inlineStr">
        <is>
          <t>10.1200/OP.20.00480</t>
        </is>
      </c>
      <c r="F8" s="3" t="inlineStr">
        <is>
          <t>Y</t>
        </is>
      </c>
      <c r="G8" s="3" t="inlineStr"/>
      <c r="H8" s="3" t="inlineStr"/>
      <c r="I8" s="3" t="inlineStr"/>
      <c r="J8" s="2">
        <f>COUNTIF(F8:I8,"Y")</f>
        <v/>
      </c>
      <c r="K8" s="2">
        <f>IF(J8=1,INDEX($F$1:$I$1,MATCH("Y",F8:I8,0)),"")</f>
        <v/>
      </c>
      <c r="L8" s="2" t="inlineStr">
        <is>
          <t>T1 MTB/VTB foundations &amp; implementation</t>
        </is>
      </c>
      <c r="M8" s="2" t="inlineStr">
        <is>
          <t>Influential</t>
        </is>
      </c>
      <c r="N8" s="2" t="inlineStr">
        <is>
          <t>Measured practice change after VTB rollout</t>
        </is>
      </c>
      <c r="O8" s="2" t="inlineStr">
        <is>
          <t>Lab1 seed</t>
        </is>
      </c>
      <c r="P8" s="2" t="inlineStr"/>
      <c r="Q8" s="2" t="inlineStr">
        <is>
          <t>CHECK: RR lists journal as 'Organic Process Research &amp; Development' (wrong, 10.1200 = ASCO). references.md maps this DOI to a different title ('Enhancing Adoption and Utility of Virtual Tumor Boards...') - confirm which title owns the DOI.</t>
        </is>
      </c>
    </row>
    <row r="9">
      <c r="A9" s="2" t="inlineStr">
        <is>
          <t>P08</t>
        </is>
      </c>
      <c r="B9" s="2" t="inlineStr">
        <is>
          <t>Artificial intelligence versus clinicians: systematic review of design, reporting standards, and claims of deep learning studies</t>
        </is>
      </c>
      <c r="C9" s="2" t="inlineStr">
        <is>
          <t>Nagendran M</t>
        </is>
      </c>
      <c r="D9" s="2" t="n">
        <v>2020</v>
      </c>
      <c r="E9" s="2" t="inlineStr">
        <is>
          <t>10.1136/bmj.m689</t>
        </is>
      </c>
      <c r="F9" s="3" t="inlineStr">
        <is>
          <t>Y</t>
        </is>
      </c>
      <c r="G9" s="3" t="inlineStr"/>
      <c r="H9" s="3" t="inlineStr"/>
      <c r="I9" s="3" t="inlineStr"/>
      <c r="J9" s="2">
        <f>COUNTIF(F9:I9,"Y")</f>
        <v/>
      </c>
      <c r="K9" s="2">
        <f>IF(J9=1,INDEX($F$1:$I$1,MATCH("Y",F9:I9,0)),"")</f>
        <v/>
      </c>
      <c r="L9" s="2" t="inlineStr">
        <is>
          <t>T4 Evaluation &amp; benchmarks</t>
        </is>
      </c>
      <c r="M9" s="2" t="inlineStr">
        <is>
          <t>Foundational</t>
        </is>
      </c>
      <c r="N9" s="2" t="inlineStr">
        <is>
          <t>Methodological critique of AI-vs-clinician studies</t>
        </is>
      </c>
      <c r="O9" s="2" t="inlineStr"/>
      <c r="P9" s="2" t="inlineStr"/>
      <c r="Q9" s="2" t="inlineStr"/>
    </row>
    <row r="10">
      <c r="A10" s="2" t="inlineStr">
        <is>
          <t>P09</t>
        </is>
      </c>
      <c r="B10" s="2" t="inlineStr">
        <is>
          <t>Implementing multidisciplinary tumor boards in oncology: a narrative review</t>
        </is>
      </c>
      <c r="C10" s="2" t="inlineStr">
        <is>
          <t>Mano MS</t>
        </is>
      </c>
      <c r="D10" s="2" t="n">
        <v>2021</v>
      </c>
      <c r="E10" s="2" t="inlineStr">
        <is>
          <t>10.2217/fon-2021-0471</t>
        </is>
      </c>
      <c r="F10" s="3" t="inlineStr">
        <is>
          <t>Y</t>
        </is>
      </c>
      <c r="G10" s="3" t="inlineStr"/>
      <c r="H10" s="3" t="inlineStr"/>
      <c r="I10" s="3" t="inlineStr"/>
      <c r="J10" s="2">
        <f>COUNTIF(F10:I10,"Y")</f>
        <v/>
      </c>
      <c r="K10" s="2">
        <f>IF(J10=1,INDEX($F$1:$I$1,MATCH("Y",F10:I10,0)),"")</f>
        <v/>
      </c>
      <c r="L10" s="2" t="inlineStr">
        <is>
          <t>T1 MTB/VTB foundations &amp; implementation</t>
        </is>
      </c>
      <c r="M10" s="2" t="inlineStr">
        <is>
          <t>Foundational</t>
        </is>
      </c>
      <c r="N10" s="2" t="inlineStr">
        <is>
          <t>How MTBs are implemented; baseline</t>
        </is>
      </c>
      <c r="O10" s="2" t="inlineStr"/>
      <c r="P10" s="2" t="inlineStr"/>
      <c r="Q10" s="2" t="inlineStr"/>
    </row>
    <row r="11">
      <c r="A11" s="2" t="inlineStr">
        <is>
          <t>P10</t>
        </is>
      </c>
      <c r="B11" s="2" t="inlineStr">
        <is>
          <t>Evaluating ChatGPT as an adjunct for the multidisciplinary tumor board decision-making in primary breast cancer cases</t>
        </is>
      </c>
      <c r="C11" s="2" t="inlineStr">
        <is>
          <t>Lukac S</t>
        </is>
      </c>
      <c r="D11" s="2" t="n">
        <v>2023</v>
      </c>
      <c r="E11" s="2" t="inlineStr">
        <is>
          <t>10.1007/s00404-023-07130-5</t>
        </is>
      </c>
      <c r="F11" s="3" t="inlineStr">
        <is>
          <t>Y</t>
        </is>
      </c>
      <c r="G11" s="3" t="inlineStr"/>
      <c r="H11" s="3" t="inlineStr"/>
      <c r="I11" s="3" t="inlineStr"/>
      <c r="J11" s="2">
        <f>COUNTIF(F11:I11,"Y")</f>
        <v/>
      </c>
      <c r="K11" s="2">
        <f>IF(J11=1,INDEX($F$1:$I$1,MATCH("Y",F11:I11,0)),"")</f>
        <v/>
      </c>
      <c r="L11" s="2" t="inlineStr">
        <is>
          <t>T2 Single-LLM vs MTB concordance</t>
        </is>
      </c>
      <c r="M11" s="2" t="inlineStr">
        <is>
          <t>Influential</t>
        </is>
      </c>
      <c r="N11" s="2" t="inlineStr">
        <is>
          <t>Early ChatGPT vs breast MTB</t>
        </is>
      </c>
      <c r="O11" s="2" t="inlineStr"/>
      <c r="P11" s="2" t="inlineStr"/>
      <c r="Q11" s="2" t="inlineStr"/>
    </row>
    <row r="12">
      <c r="A12" s="2" t="inlineStr">
        <is>
          <t>P11</t>
        </is>
      </c>
      <c r="B12" s="2" t="inlineStr">
        <is>
          <t>The Role of Artificial Intelligence on Tumor Boards: Perspectives from Surgeons, Medical Oncologists and Radiation Oncologists</t>
        </is>
      </c>
      <c r="C12" s="2" t="inlineStr">
        <is>
          <t>Nardone V</t>
        </is>
      </c>
      <c r="D12" s="2" t="n">
        <v>2024</v>
      </c>
      <c r="E12" s="2" t="inlineStr">
        <is>
          <t>10.3390/curroncol31090369</t>
        </is>
      </c>
      <c r="F12" s="3" t="inlineStr">
        <is>
          <t>Y</t>
        </is>
      </c>
      <c r="G12" s="3" t="inlineStr"/>
      <c r="H12" s="3" t="inlineStr"/>
      <c r="I12" s="3" t="inlineStr"/>
      <c r="J12" s="2">
        <f>COUNTIF(F12:I12,"Y")</f>
        <v/>
      </c>
      <c r="K12" s="2">
        <f>IF(J12=1,INDEX($F$1:$I$1,MATCH("Y",F12:I12,0)),"")</f>
        <v/>
      </c>
      <c r="L12" s="2" t="inlineStr">
        <is>
          <t>T5 Ethics, accountability, trust</t>
        </is>
      </c>
      <c r="M12" s="2" t="inlineStr">
        <is>
          <t>Recent</t>
        </is>
      </c>
      <c r="N12" s="2" t="inlineStr">
        <is>
          <t>Clinician attitudes to AI in MTBs</t>
        </is>
      </c>
      <c r="O12" s="2" t="inlineStr"/>
      <c r="P12" s="2" t="inlineStr"/>
      <c r="Q12" s="2" t="inlineStr"/>
    </row>
    <row r="13">
      <c r="A13" s="2" t="inlineStr">
        <is>
          <t>P12</t>
        </is>
      </c>
      <c r="B13" s="2" t="inlineStr">
        <is>
          <t>The Advent of the Virtual MDT Meeting: Do Remote Meetings Work?</t>
        </is>
      </c>
      <c r="C13" s="2" t="inlineStr">
        <is>
          <t>Mohamedbhai H</t>
        </is>
      </c>
      <c r="D13" s="2" t="n">
        <v>2021</v>
      </c>
      <c r="E13" s="2" t="inlineStr">
        <is>
          <t>10.1016/j.bjoms.2021.05.015</t>
        </is>
      </c>
      <c r="F13" s="3" t="inlineStr">
        <is>
          <t>Y</t>
        </is>
      </c>
      <c r="G13" s="3" t="inlineStr"/>
      <c r="H13" s="3" t="inlineStr"/>
      <c r="I13" s="3" t="inlineStr"/>
      <c r="J13" s="2">
        <f>COUNTIF(F13:I13,"Y")</f>
        <v/>
      </c>
      <c r="K13" s="2">
        <f>IF(J13=1,INDEX($F$1:$I$1,MATCH("Y",F13:I13,0)),"")</f>
        <v/>
      </c>
      <c r="L13" s="2" t="inlineStr">
        <is>
          <t>T1 MTB/VTB foundations &amp; implementation</t>
        </is>
      </c>
      <c r="M13" s="2" t="inlineStr">
        <is>
          <t>Influential</t>
        </is>
      </c>
      <c r="N13" s="2" t="inlineStr">
        <is>
          <t>Remote MDT effectiveness</t>
        </is>
      </c>
      <c r="O13" s="2" t="inlineStr"/>
      <c r="P13" s="2" t="inlineStr"/>
      <c r="Q13" s="2" t="inlineStr"/>
    </row>
    <row r="14">
      <c r="A14" s="2" t="inlineStr">
        <is>
          <t>P13</t>
        </is>
      </c>
      <c r="B14" s="2" t="inlineStr">
        <is>
          <t>Regionalization of Head and Neck Oncology Tumor Boards: Perspectives of Collaborating Physicians</t>
        </is>
      </c>
      <c r="C14" s="2" t="inlineStr">
        <is>
          <t>Amin N</t>
        </is>
      </c>
      <c r="D14" s="2" t="n">
        <v>2023</v>
      </c>
      <c r="E14" s="2" t="inlineStr">
        <is>
          <t>10.1002/oto2.18</t>
        </is>
      </c>
      <c r="F14" s="3" t="inlineStr">
        <is>
          <t>Y</t>
        </is>
      </c>
      <c r="G14" s="3" t="inlineStr"/>
      <c r="H14" s="3" t="inlineStr"/>
      <c r="I14" s="3" t="inlineStr"/>
      <c r="J14" s="2">
        <f>COUNTIF(F14:I14,"Y")</f>
        <v/>
      </c>
      <c r="K14" s="2">
        <f>IF(J14=1,INDEX($F$1:$I$1,MATCH("Y",F14:I14,0)),"")</f>
        <v/>
      </c>
      <c r="L14" s="2" t="inlineStr">
        <is>
          <t>T1 MTB/VTB foundations &amp; implementation</t>
        </is>
      </c>
      <c r="M14" s="2" t="inlineStr">
        <is>
          <t>Recent</t>
        </is>
      </c>
      <c r="N14" s="2" t="inlineStr">
        <is>
          <t>Regional/virtual collaboration perspectives</t>
        </is>
      </c>
      <c r="O14" s="2" t="inlineStr"/>
      <c r="P14" s="2" t="inlineStr"/>
      <c r="Q14" s="2" t="inlineStr"/>
    </row>
    <row r="15">
      <c r="A15" s="2" t="inlineStr">
        <is>
          <t>P14</t>
        </is>
      </c>
      <c r="B15" s="2" t="inlineStr">
        <is>
          <t>Large language model (ChatGPT) as a support tool for breast tumor board</t>
        </is>
      </c>
      <c r="C15" s="2" t="inlineStr">
        <is>
          <t>Sorin V</t>
        </is>
      </c>
      <c r="D15" s="2" t="n">
        <v>2023</v>
      </c>
      <c r="E15" s="2" t="inlineStr">
        <is>
          <t>10.1038/s41523-023-00557-8</t>
        </is>
      </c>
      <c r="F15" s="3" t="inlineStr">
        <is>
          <t>Y</t>
        </is>
      </c>
      <c r="G15" s="3" t="inlineStr"/>
      <c r="H15" s="3" t="inlineStr"/>
      <c r="I15" s="3" t="inlineStr"/>
      <c r="J15" s="2">
        <f>COUNTIF(F15:I15,"Y")</f>
        <v/>
      </c>
      <c r="K15" s="2">
        <f>IF(J15=1,INDEX($F$1:$I$1,MATCH("Y",F15:I15,0)),"")</f>
        <v/>
      </c>
      <c r="L15" s="2" t="inlineStr">
        <is>
          <t>T2 Single-LLM vs MTB concordance</t>
        </is>
      </c>
      <c r="M15" s="2" t="inlineStr">
        <is>
          <t>Influential</t>
        </is>
      </c>
      <c r="N15" s="2" t="inlineStr">
        <is>
          <t>Most-cited LLM-vs-MTB study (breast)</t>
        </is>
      </c>
      <c r="O15" s="2" t="inlineStr"/>
      <c r="P15" s="2" t="inlineStr"/>
      <c r="Q15" s="2" t="inlineStr"/>
    </row>
    <row r="16">
      <c r="A16" s="2" t="inlineStr">
        <is>
          <t>P15</t>
        </is>
      </c>
      <c r="B16" s="2" t="inlineStr">
        <is>
          <t>Challenging ChatGPT 3.5 in Senology - An Assessment of Concordance with Breast Cancer Tumor Board Decision Making</t>
        </is>
      </c>
      <c r="C16" s="2" t="inlineStr">
        <is>
          <t>Griewing S</t>
        </is>
      </c>
      <c r="D16" s="2" t="n">
        <v>2023</v>
      </c>
      <c r="E16" s="2" t="inlineStr">
        <is>
          <t>10.3390/jpm13101502</t>
        </is>
      </c>
      <c r="F16" s="3" t="inlineStr">
        <is>
          <t>Y</t>
        </is>
      </c>
      <c r="G16" s="3" t="inlineStr"/>
      <c r="H16" s="3" t="inlineStr"/>
      <c r="I16" s="3" t="inlineStr"/>
      <c r="J16" s="2">
        <f>COUNTIF(F16:I16,"Y")</f>
        <v/>
      </c>
      <c r="K16" s="2">
        <f>IF(J16=1,INDEX($F$1:$I$1,MATCH("Y",F16:I16,0)),"")</f>
        <v/>
      </c>
      <c r="L16" s="2" t="inlineStr">
        <is>
          <t>T2 Single-LLM vs MTB concordance</t>
        </is>
      </c>
      <c r="M16" s="2" t="inlineStr">
        <is>
          <t>Influential</t>
        </is>
      </c>
      <c r="N16" s="2" t="inlineStr">
        <is>
          <t>Concordance with breast MTB</t>
        </is>
      </c>
      <c r="O16" s="2" t="inlineStr"/>
      <c r="P16" s="2" t="inlineStr"/>
      <c r="Q16" s="2" t="inlineStr"/>
    </row>
    <row r="17">
      <c r="A17" s="2" t="inlineStr">
        <is>
          <t>P16</t>
        </is>
      </c>
      <c r="B17" s="2" t="inlineStr">
        <is>
          <t>How well does the virtual format of oncology multidisciplinary team meetings work? An assessment of participant perspectives</t>
        </is>
      </c>
      <c r="C17" s="2" t="inlineStr">
        <is>
          <t>Rehman MA</t>
        </is>
      </c>
      <c r="D17" s="2" t="n">
        <v>2023</v>
      </c>
      <c r="E17" s="2" t="inlineStr">
        <is>
          <t>10.1371/journal.pone.0294635</t>
        </is>
      </c>
      <c r="F17" s="3" t="inlineStr">
        <is>
          <t>Y</t>
        </is>
      </c>
      <c r="G17" s="3" t="inlineStr"/>
      <c r="H17" s="3" t="inlineStr"/>
      <c r="I17" s="3" t="inlineStr"/>
      <c r="J17" s="2">
        <f>COUNTIF(F17:I17,"Y")</f>
        <v/>
      </c>
      <c r="K17" s="2">
        <f>IF(J17=1,INDEX($F$1:$I$1,MATCH("Y",F17:I17,0)),"")</f>
        <v/>
      </c>
      <c r="L17" s="2" t="inlineStr">
        <is>
          <t>T1 MTB/VTB foundations &amp; implementation</t>
        </is>
      </c>
      <c r="M17" s="2" t="inlineStr">
        <is>
          <t>Recent</t>
        </is>
      </c>
      <c r="N17" s="2" t="inlineStr">
        <is>
          <t>Participant view of virtual MDTs</t>
        </is>
      </c>
      <c r="O17" s="2" t="inlineStr"/>
      <c r="P17" s="2" t="inlineStr"/>
      <c r="Q17" s="2" t="inlineStr"/>
    </row>
    <row r="18">
      <c r="A18" s="2" t="inlineStr">
        <is>
          <t>P17</t>
        </is>
      </c>
      <c r="B18" s="2" t="inlineStr">
        <is>
          <t>A policy framework for commissioning cancer services (Calman-Hine)</t>
        </is>
      </c>
      <c r="C18" s="2" t="inlineStr">
        <is>
          <t>Whitehouse MR</t>
        </is>
      </c>
      <c r="D18" s="2" t="n">
        <v>1995</v>
      </c>
      <c r="E18" s="2" t="inlineStr">
        <is>
          <t>10.1136/bmj.310.6992.1425</t>
        </is>
      </c>
      <c r="F18" s="3" t="inlineStr">
        <is>
          <t>Y</t>
        </is>
      </c>
      <c r="G18" s="3" t="inlineStr"/>
      <c r="H18" s="3" t="inlineStr"/>
      <c r="I18" s="3" t="inlineStr"/>
      <c r="J18" s="2">
        <f>COUNTIF(F18:I18,"Y")</f>
        <v/>
      </c>
      <c r="K18" s="2">
        <f>IF(J18=1,INDEX($F$1:$I$1,MATCH("Y",F18:I18,0)),"")</f>
        <v/>
      </c>
      <c r="L18" s="2" t="inlineStr">
        <is>
          <t>T1 MTB/VTB foundations &amp; implementation</t>
        </is>
      </c>
      <c r="M18" s="2" t="inlineStr">
        <is>
          <t>Foundational</t>
        </is>
      </c>
      <c r="N18" s="2" t="inlineStr">
        <is>
          <t>Origin of MDT-based cancer care policy</t>
        </is>
      </c>
      <c r="O18" s="2" t="inlineStr"/>
      <c r="P18" s="2" t="inlineStr"/>
      <c r="Q18" s="2" t="inlineStr"/>
    </row>
    <row r="19">
      <c r="A19" s="2" t="inlineStr">
        <is>
          <t>P18</t>
        </is>
      </c>
      <c r="B19" s="2" t="inlineStr">
        <is>
          <t>Conversational artificial intelligence (chatGPT) in the management of complex colorectal cancer patients: early experience</t>
        </is>
      </c>
      <c r="C19" s="2" t="inlineStr">
        <is>
          <t>Choo JM</t>
        </is>
      </c>
      <c r="D19" s="2" t="n">
        <v>2023</v>
      </c>
      <c r="E19" s="2" t="inlineStr">
        <is>
          <t>10.1111/ans.18749</t>
        </is>
      </c>
      <c r="F19" s="3" t="inlineStr">
        <is>
          <t>Y</t>
        </is>
      </c>
      <c r="G19" s="3" t="inlineStr"/>
      <c r="H19" s="3" t="inlineStr"/>
      <c r="I19" s="3" t="inlineStr"/>
      <c r="J19" s="2">
        <f>COUNTIF(F19:I19,"Y")</f>
        <v/>
      </c>
      <c r="K19" s="2">
        <f>IF(J19=1,INDEX($F$1:$I$1,MATCH("Y",F19:I19,0)),"")</f>
        <v/>
      </c>
      <c r="L19" s="2" t="inlineStr">
        <is>
          <t>T2 Single-LLM vs MTB concordance</t>
        </is>
      </c>
      <c r="M19" s="2" t="inlineStr">
        <is>
          <t>Influential</t>
        </is>
      </c>
      <c r="N19" s="2" t="inlineStr">
        <is>
          <t>LLM vs MTB, colorectal</t>
        </is>
      </c>
      <c r="O19" s="2" t="inlineStr"/>
      <c r="P19" s="2" t="inlineStr"/>
      <c r="Q19" s="2" t="inlineStr"/>
    </row>
    <row r="20">
      <c r="A20" s="2" t="inlineStr">
        <is>
          <t>P19</t>
        </is>
      </c>
      <c r="B20" s="2" t="inlineStr">
        <is>
          <t>Concordance of a decision algorithm and multidisciplinary team meetings for patients with liver cancer - a study protocol</t>
        </is>
      </c>
      <c r="C20" s="2" t="inlineStr">
        <is>
          <t>Ng SST</t>
        </is>
      </c>
      <c r="D20" s="2" t="n">
        <v>2023</v>
      </c>
      <c r="E20" s="2" t="inlineStr">
        <is>
          <t>10.1186/s13063-023-07610-8</t>
        </is>
      </c>
      <c r="F20" s="3" t="inlineStr">
        <is>
          <t>Y</t>
        </is>
      </c>
      <c r="G20" s="3" t="inlineStr"/>
      <c r="H20" s="3" t="inlineStr"/>
      <c r="I20" s="3" t="inlineStr"/>
      <c r="J20" s="2">
        <f>COUNTIF(F20:I20,"Y")</f>
        <v/>
      </c>
      <c r="K20" s="2">
        <f>IF(J20=1,INDEX($F$1:$I$1,MATCH("Y",F20:I20,0)),"")</f>
        <v/>
      </c>
      <c r="L20" s="2" t="inlineStr">
        <is>
          <t>T2 Single-LLM vs MTB concordance</t>
        </is>
      </c>
      <c r="M20" s="2" t="inlineStr">
        <is>
          <t>Recent</t>
        </is>
      </c>
      <c r="N20" s="2" t="inlineStr">
        <is>
          <t>Prospective protocol: algorithm vs MDT (liver)</t>
        </is>
      </c>
      <c r="O20" s="2" t="inlineStr"/>
      <c r="P20" s="2" t="inlineStr"/>
      <c r="Q20" s="2" t="inlineStr"/>
    </row>
    <row r="21">
      <c r="A21" s="2" t="inlineStr">
        <is>
          <t>P20</t>
        </is>
      </c>
      <c r="B21" s="2" t="inlineStr">
        <is>
          <t>Responsibility Gaps and Black Box Healthcare AI: Shared Responsibilization as a Solution</t>
        </is>
      </c>
      <c r="C21" s="2" t="inlineStr">
        <is>
          <t>Lang B</t>
        </is>
      </c>
      <c r="D21" s="2" t="n">
        <v>2023</v>
      </c>
      <c r="E21" s="2" t="inlineStr">
        <is>
          <t>10.1007/s44206-023-00073-z</t>
        </is>
      </c>
      <c r="F21" s="3" t="inlineStr">
        <is>
          <t>Y</t>
        </is>
      </c>
      <c r="G21" s="3" t="inlineStr"/>
      <c r="H21" s="3" t="inlineStr"/>
      <c r="I21" s="3" t="inlineStr"/>
      <c r="J21" s="2">
        <f>COUNTIF(F21:I21,"Y")</f>
        <v/>
      </c>
      <c r="K21" s="2">
        <f>IF(J21=1,INDEX($F$1:$I$1,MATCH("Y",F21:I21,0)),"")</f>
        <v/>
      </c>
      <c r="L21" s="2" t="inlineStr">
        <is>
          <t>T5 Ethics, accountability, trust</t>
        </is>
      </c>
      <c r="M21" s="2" t="inlineStr">
        <is>
          <t>Recent</t>
        </is>
      </c>
      <c r="N21" s="2" t="inlineStr">
        <is>
          <t>Accountability when AI advises MTB</t>
        </is>
      </c>
      <c r="O21" s="2" t="inlineStr"/>
      <c r="P21" s="2" t="inlineStr"/>
      <c r="Q21" s="2" t="inlineStr"/>
    </row>
    <row r="22">
      <c r="A22" s="2" t="inlineStr">
        <is>
          <t>P21</t>
        </is>
      </c>
      <c r="B22" s="2" t="inlineStr">
        <is>
          <t>Transition to a virtual multidisciplinary tumor board during the COVID-19 pandemic: University of Pittsburgh experience</t>
        </is>
      </c>
      <c r="C22" s="2" t="inlineStr">
        <is>
          <t>Dharmarajan H</t>
        </is>
      </c>
      <c r="D22" s="2" t="n">
        <v>2020</v>
      </c>
      <c r="E22" s="2" t="inlineStr">
        <is>
          <t>10.1002/hed.26195</t>
        </is>
      </c>
      <c r="F22" s="3" t="inlineStr">
        <is>
          <t>Y</t>
        </is>
      </c>
      <c r="G22" s="3" t="inlineStr"/>
      <c r="H22" s="3" t="inlineStr"/>
      <c r="I22" s="3" t="inlineStr"/>
      <c r="J22" s="2">
        <f>COUNTIF(F22:I22,"Y")</f>
        <v/>
      </c>
      <c r="K22" s="2">
        <f>IF(J22=1,INDEX($F$1:$I$1,MATCH("Y",F22:I22,0)),"")</f>
        <v/>
      </c>
      <c r="L22" s="2" t="inlineStr">
        <is>
          <t>T1 MTB/VTB foundations &amp; implementation</t>
        </is>
      </c>
      <c r="M22" s="2" t="inlineStr">
        <is>
          <t>Influential</t>
        </is>
      </c>
      <c r="N22" s="2" t="inlineStr">
        <is>
          <t>COVID-era VTB transition</t>
        </is>
      </c>
      <c r="O22" s="2" t="inlineStr"/>
      <c r="P22" s="2" t="inlineStr"/>
      <c r="Q22" s="2" t="inlineStr"/>
    </row>
    <row r="23">
      <c r="A23" s="2" t="inlineStr">
        <is>
          <t>P22</t>
        </is>
      </c>
      <c r="B23" s="2" t="inlineStr">
        <is>
          <t>Tumour boards and their quality of structures, processes, and team performance in multidisciplinary cancer care: a systematic review</t>
        </is>
      </c>
      <c r="C23" s="2" t="inlineStr"/>
      <c r="D23" s="2" t="n">
        <v>2026</v>
      </c>
      <c r="E23" s="2" t="inlineStr">
        <is>
          <t>10.1186/s12913-026-14447-9</t>
        </is>
      </c>
      <c r="F23" s="3" t="inlineStr">
        <is>
          <t>N</t>
        </is>
      </c>
      <c r="G23" s="3" t="inlineStr"/>
      <c r="H23" s="3" t="inlineStr"/>
      <c r="I23" s="3" t="inlineStr"/>
      <c r="J23" s="2">
        <f>COUNTIF(F23:I23,"Y")</f>
        <v/>
      </c>
      <c r="K23" s="2">
        <f>IF(J23=1,INDEX($F$1:$I$1,MATCH("Y",F23:I23,0)),"")</f>
        <v/>
      </c>
      <c r="L23" s="2" t="inlineStr">
        <is>
          <t>T1 MTB/VTB foundations &amp; implementation</t>
        </is>
      </c>
      <c r="M23" s="2" t="inlineStr">
        <is>
          <t>Recent</t>
        </is>
      </c>
      <c r="N23" s="2" t="inlineStr">
        <is>
          <t>97-study synthesis of MTB quality</t>
        </is>
      </c>
      <c r="O23" s="2" t="inlineStr">
        <is>
          <t>Lab2 repo</t>
        </is>
      </c>
      <c r="P23" s="2" t="inlineStr"/>
      <c r="Q23" s="2" t="inlineStr"/>
    </row>
    <row r="24">
      <c r="A24" s="2" t="inlineStr">
        <is>
          <t>P23</t>
        </is>
      </c>
      <c r="B24" s="2" t="inlineStr">
        <is>
          <t>Process quality of decision-making in multidisciplinary cancer team meetings: a structured observational study</t>
        </is>
      </c>
      <c r="C24" s="2" t="inlineStr"/>
      <c r="D24" s="2" t="n"/>
      <c r="E24" s="2" t="inlineStr">
        <is>
          <t>PMC5693525</t>
        </is>
      </c>
      <c r="F24" s="3" t="inlineStr">
        <is>
          <t>N</t>
        </is>
      </c>
      <c r="G24" s="3" t="inlineStr"/>
      <c r="H24" s="3" t="inlineStr"/>
      <c r="I24" s="3" t="inlineStr"/>
      <c r="J24" s="2">
        <f>COUNTIF(F24:I24,"Y")</f>
        <v/>
      </c>
      <c r="K24" s="2">
        <f>IF(J24=1,INDEX($F$1:$I$1,MATCH("Y",F24:I24,0)),"")</f>
        <v/>
      </c>
      <c r="L24" s="2" t="inlineStr">
        <is>
          <t>T1 MTB/VTB foundations &amp; implementation</t>
        </is>
      </c>
      <c r="M24" s="2" t="inlineStr">
        <is>
          <t>Foundational</t>
        </is>
      </c>
      <c r="N24" s="2" t="inlineStr">
        <is>
          <t>Baseline process quality of human MDTs</t>
        </is>
      </c>
      <c r="O24" s="2" t="inlineStr">
        <is>
          <t>Lab2 repo</t>
        </is>
      </c>
      <c r="P24" s="2" t="inlineStr"/>
      <c r="Q24" s="2" t="inlineStr"/>
    </row>
    <row r="25">
      <c r="A25" s="2" t="inlineStr">
        <is>
          <t>P24</t>
        </is>
      </c>
      <c r="B25" s="2" t="inlineStr">
        <is>
          <t>Higher number of multidisciplinary tumor board meetings per case leads to improved clinical outcome</t>
        </is>
      </c>
      <c r="C25" s="2" t="inlineStr"/>
      <c r="D25" s="2" t="n">
        <v>2020</v>
      </c>
      <c r="E25" s="2" t="inlineStr">
        <is>
          <t>10.1186/s12885-020-06809-1</t>
        </is>
      </c>
      <c r="F25" s="3" t="inlineStr">
        <is>
          <t>N</t>
        </is>
      </c>
      <c r="G25" s="3" t="inlineStr"/>
      <c r="H25" s="3" t="inlineStr"/>
      <c r="I25" s="3" t="inlineStr"/>
      <c r="J25" s="2">
        <f>COUNTIF(F25:I25,"Y")</f>
        <v/>
      </c>
      <c r="K25" s="2">
        <f>IF(J25=1,INDEX($F$1:$I$1,MATCH("Y",F25:I25,0)),"")</f>
        <v/>
      </c>
      <c r="L25" s="2" t="inlineStr">
        <is>
          <t>T1 MTB/VTB foundations &amp; implementation</t>
        </is>
      </c>
      <c r="M25" s="2" t="inlineStr">
        <is>
          <t>Foundational</t>
        </is>
      </c>
      <c r="N25" s="2" t="inlineStr">
        <is>
          <t>MTB exposure linked to outcomes</t>
        </is>
      </c>
      <c r="O25" s="2" t="inlineStr">
        <is>
          <t>Lab2 repo</t>
        </is>
      </c>
      <c r="P25" s="2" t="inlineStr"/>
      <c r="Q25" s="2" t="inlineStr"/>
    </row>
    <row r="26">
      <c r="A26" s="2" t="inlineStr">
        <is>
          <t>P25</t>
        </is>
      </c>
      <c r="B26" s="2" t="inlineStr">
        <is>
          <t>The impact of tumor board on cancer care: evidence from an umbrella review</t>
        </is>
      </c>
      <c r="C26" s="2" t="inlineStr"/>
      <c r="D26" s="2" t="n"/>
      <c r="E26" s="2" t="inlineStr">
        <is>
          <t>PMC6995197</t>
        </is>
      </c>
      <c r="F26" s="3" t="inlineStr">
        <is>
          <t>N</t>
        </is>
      </c>
      <c r="G26" s="3" t="inlineStr"/>
      <c r="H26" s="3" t="inlineStr"/>
      <c r="I26" s="3" t="inlineStr"/>
      <c r="J26" s="2">
        <f>COUNTIF(F26:I26,"Y")</f>
        <v/>
      </c>
      <c r="K26" s="2">
        <f>IF(J26=1,INDEX($F$1:$I$1,MATCH("Y",F26:I26,0)),"")</f>
        <v/>
      </c>
      <c r="L26" s="2" t="inlineStr">
        <is>
          <t>T1 MTB/VTB foundations &amp; implementation</t>
        </is>
      </c>
      <c r="M26" s="2" t="inlineStr">
        <is>
          <t>Foundational</t>
        </is>
      </c>
      <c r="N26" s="2" t="inlineStr">
        <is>
          <t>Umbrella review of MTB impact</t>
        </is>
      </c>
      <c r="O26" s="2" t="inlineStr">
        <is>
          <t>Lab2 repo</t>
        </is>
      </c>
      <c r="P26" s="2" t="inlineStr"/>
      <c r="Q26" s="2" t="inlineStr"/>
    </row>
    <row r="27">
      <c r="A27" s="2" t="inlineStr">
        <is>
          <t>P26</t>
        </is>
      </c>
      <c r="B27" s="2" t="inlineStr">
        <is>
          <t>Virtual multi-institutional tumor board: a strategy for personalized diagnoses and management of rare CNS tumors</t>
        </is>
      </c>
      <c r="C27" s="2" t="inlineStr"/>
      <c r="D27" s="2" t="n">
        <v>2024</v>
      </c>
      <c r="E27" s="2" t="inlineStr">
        <is>
          <t>10.1007/s11060-024-04613-6</t>
        </is>
      </c>
      <c r="F27" s="3" t="inlineStr">
        <is>
          <t>N</t>
        </is>
      </c>
      <c r="G27" s="3" t="inlineStr"/>
      <c r="H27" s="3" t="inlineStr"/>
      <c r="I27" s="3" t="inlineStr"/>
      <c r="J27" s="2">
        <f>COUNTIF(F27:I27,"Y")</f>
        <v/>
      </c>
      <c r="K27" s="2">
        <f>IF(J27=1,INDEX($F$1:$I$1,MATCH("Y",F27:I27,0)),"")</f>
        <v/>
      </c>
      <c r="L27" s="2" t="inlineStr">
        <is>
          <t>T1 MTB/VTB foundations &amp; implementation</t>
        </is>
      </c>
      <c r="M27" s="2" t="inlineStr">
        <is>
          <t>Recent</t>
        </is>
      </c>
      <c r="N27" s="2" t="inlineStr">
        <is>
          <t>Multi-institution VTB for rare tumours</t>
        </is>
      </c>
      <c r="O27" s="2" t="inlineStr">
        <is>
          <t>Lab2 repo</t>
        </is>
      </c>
      <c r="P27" s="2" t="inlineStr"/>
      <c r="Q27" s="2" t="inlineStr"/>
    </row>
    <row r="28">
      <c r="A28" s="2" t="inlineStr">
        <is>
          <t>P27</t>
        </is>
      </c>
      <c r="B28" s="2" t="inlineStr">
        <is>
          <t>AutoGen: Enabling Next-Gen LLM Applications via Multi-Agent Conversation Framework</t>
        </is>
      </c>
      <c r="C28" s="2" t="inlineStr">
        <is>
          <t>Wu Q</t>
        </is>
      </c>
      <c r="D28" s="2" t="n">
        <v>2023</v>
      </c>
      <c r="E28" s="2" t="inlineStr">
        <is>
          <t>arXiv:2308.08155</t>
        </is>
      </c>
      <c r="F28" s="3" t="inlineStr">
        <is>
          <t>N</t>
        </is>
      </c>
      <c r="G28" s="3" t="inlineStr"/>
      <c r="H28" s="3" t="inlineStr"/>
      <c r="I28" s="3" t="inlineStr"/>
      <c r="J28" s="2">
        <f>COUNTIF(F28:I28,"Y")</f>
        <v/>
      </c>
      <c r="K28" s="2">
        <f>IF(J28=1,INDEX($F$1:$I$1,MATCH("Y",F28:I28,0)),"")</f>
        <v/>
      </c>
      <c r="L28" s="2" t="inlineStr">
        <is>
          <t>T3 Multi-agent LLM systems</t>
        </is>
      </c>
      <c r="M28" s="2" t="inlineStr">
        <is>
          <t>Foundational</t>
        </is>
      </c>
      <c r="N28" s="2" t="inlineStr">
        <is>
          <t>General multi-agent conversation framework</t>
        </is>
      </c>
      <c r="O28" s="2" t="inlineStr">
        <is>
          <t>Lab2 repo</t>
        </is>
      </c>
      <c r="P28" s="2" t="inlineStr"/>
      <c r="Q28" s="2" t="inlineStr"/>
    </row>
    <row r="29">
      <c r="A29" s="2" t="inlineStr">
        <is>
          <t>P28</t>
        </is>
      </c>
      <c r="B29" s="2" t="inlineStr">
        <is>
          <t>MedAgents: Large Language Models as Collaborators for Zero-shot Medical Reasoning</t>
        </is>
      </c>
      <c r="C29" s="2" t="inlineStr">
        <is>
          <t>Tang X</t>
        </is>
      </c>
      <c r="D29" s="2" t="n">
        <v>2024</v>
      </c>
      <c r="E29" s="2" t="inlineStr">
        <is>
          <t>arXiv:2311.10537</t>
        </is>
      </c>
      <c r="F29" s="3" t="inlineStr">
        <is>
          <t>N</t>
        </is>
      </c>
      <c r="G29" s="3" t="inlineStr"/>
      <c r="H29" s="3" t="inlineStr"/>
      <c r="I29" s="3" t="inlineStr"/>
      <c r="J29" s="2">
        <f>COUNTIF(F29:I29,"Y")</f>
        <v/>
      </c>
      <c r="K29" s="2">
        <f>IF(J29=1,INDEX($F$1:$I$1,MATCH("Y",F29:I29,0)),"")</f>
        <v/>
      </c>
      <c r="L29" s="2" t="inlineStr">
        <is>
          <t>T3 Multi-agent LLM systems</t>
        </is>
      </c>
      <c r="M29" s="2" t="inlineStr">
        <is>
          <t>Foundational</t>
        </is>
      </c>
      <c r="N29" s="2" t="inlineStr">
        <is>
          <t>Role-play multi-expert medical reasoning</t>
        </is>
      </c>
      <c r="O29" s="2" t="inlineStr">
        <is>
          <t>Lab2 repo</t>
        </is>
      </c>
      <c r="P29" s="2" t="inlineStr"/>
      <c r="Q29" s="2" t="inlineStr"/>
    </row>
    <row r="30">
      <c r="A30" s="2" t="inlineStr">
        <is>
          <t>P29</t>
        </is>
      </c>
      <c r="B30" s="2" t="inlineStr">
        <is>
          <t>MDAgents: An Adaptive Collaboration of LLMs for Medical Decision-Making</t>
        </is>
      </c>
      <c r="C30" s="2" t="inlineStr">
        <is>
          <t>Kim Y</t>
        </is>
      </c>
      <c r="D30" s="2" t="n">
        <v>2024</v>
      </c>
      <c r="E30" s="2" t="inlineStr">
        <is>
          <t>arXiv:2404.15155</t>
        </is>
      </c>
      <c r="F30" s="3" t="inlineStr">
        <is>
          <t>N</t>
        </is>
      </c>
      <c r="G30" s="3" t="inlineStr"/>
      <c r="H30" s="3" t="inlineStr"/>
      <c r="I30" s="3" t="inlineStr"/>
      <c r="J30" s="2">
        <f>COUNTIF(F30:I30,"Y")</f>
        <v/>
      </c>
      <c r="K30" s="2">
        <f>IF(J30=1,INDEX($F$1:$I$1,MATCH("Y",F30:I30,0)),"")</f>
        <v/>
      </c>
      <c r="L30" s="2" t="inlineStr">
        <is>
          <t>T3 Multi-agent LLM systems</t>
        </is>
      </c>
      <c r="M30" s="2" t="inlineStr">
        <is>
          <t>Foundational</t>
        </is>
      </c>
      <c r="N30" s="2" t="inlineStr">
        <is>
          <t>Adaptive MDT-style agent collaboration</t>
        </is>
      </c>
      <c r="O30" s="2" t="inlineStr">
        <is>
          <t>Lab2 repo</t>
        </is>
      </c>
      <c r="P30" s="2" t="inlineStr"/>
      <c r="Q30" s="2" t="inlineStr"/>
    </row>
    <row r="31">
      <c r="A31" s="2" t="inlineStr">
        <is>
          <t>P30</t>
        </is>
      </c>
      <c r="B31" s="2" t="inlineStr">
        <is>
          <t>AgentClinic: a multimodal agent benchmark to evaluate AI in simulated clinical environments</t>
        </is>
      </c>
      <c r="C31" s="2" t="inlineStr">
        <is>
          <t>Schmidgall S</t>
        </is>
      </c>
      <c r="D31" s="2" t="n">
        <v>2024</v>
      </c>
      <c r="E31" s="2" t="inlineStr">
        <is>
          <t>arXiv:2405.07960</t>
        </is>
      </c>
      <c r="F31" s="3" t="inlineStr">
        <is>
          <t>N</t>
        </is>
      </c>
      <c r="G31" s="3" t="inlineStr"/>
      <c r="H31" s="3" t="inlineStr"/>
      <c r="I31" s="3" t="inlineStr"/>
      <c r="J31" s="2">
        <f>COUNTIF(F31:I31,"Y")</f>
        <v/>
      </c>
      <c r="K31" s="2">
        <f>IF(J31=1,INDEX($F$1:$I$1,MATCH("Y",F31:I31,0)),"")</f>
        <v/>
      </c>
      <c r="L31" s="2" t="inlineStr">
        <is>
          <t>T4 Evaluation &amp; benchmarks</t>
        </is>
      </c>
      <c r="M31" s="2" t="inlineStr">
        <is>
          <t>Influential</t>
        </is>
      </c>
      <c r="N31" s="2" t="inlineStr">
        <is>
          <t>Agent benchmark in simulated clinics</t>
        </is>
      </c>
      <c r="O31" s="2" t="inlineStr">
        <is>
          <t>Lab2 repo</t>
        </is>
      </c>
      <c r="P31" s="2" t="inlineStr"/>
      <c r="Q31" s="2" t="inlineStr"/>
    </row>
    <row r="32">
      <c r="A32" s="2" t="inlineStr">
        <is>
          <t>P31</t>
        </is>
      </c>
      <c r="B32" s="2" t="inlineStr">
        <is>
          <t>MTBBench: A Multimodal Sequential Clinical Decision-Making Benchmark in Oncology</t>
        </is>
      </c>
      <c r="C32" s="2" t="inlineStr"/>
      <c r="D32" s="2" t="n">
        <v>2025</v>
      </c>
      <c r="E32" s="2" t="inlineStr">
        <is>
          <t>arXiv:2511.20490</t>
        </is>
      </c>
      <c r="F32" s="3" t="inlineStr">
        <is>
          <t>N</t>
        </is>
      </c>
      <c r="G32" s="3" t="inlineStr"/>
      <c r="H32" s="3" t="inlineStr"/>
      <c r="I32" s="3" t="inlineStr"/>
      <c r="J32" s="2">
        <f>COUNTIF(F32:I32,"Y")</f>
        <v/>
      </c>
      <c r="K32" s="2">
        <f>IF(J32=1,INDEX($F$1:$I$1,MATCH("Y",F32:I32,0)),"")</f>
        <v/>
      </c>
      <c r="L32" s="2" t="inlineStr">
        <is>
          <t>T4 Evaluation &amp; benchmarks</t>
        </is>
      </c>
      <c r="M32" s="2" t="inlineStr">
        <is>
          <t>Recent</t>
        </is>
      </c>
      <c r="N32" s="2" t="inlineStr">
        <is>
          <t>Oncology MTB-specific benchmark</t>
        </is>
      </c>
      <c r="O32" s="2" t="inlineStr">
        <is>
          <t>Lab2 repo</t>
        </is>
      </c>
      <c r="P32" s="2" t="inlineStr"/>
      <c r="Q32" s="2" t="inlineStr"/>
    </row>
    <row r="33">
      <c r="A33" s="2" t="inlineStr">
        <is>
          <t>P32</t>
        </is>
      </c>
      <c r="B33" s="2" t="inlineStr">
        <is>
          <t>Virtual oncology collaborative tumor board using multiple artificial intelligence agents</t>
        </is>
      </c>
      <c r="C33" s="2" t="inlineStr"/>
      <c r="D33" s="2" t="n">
        <v>2025</v>
      </c>
      <c r="E33" s="2" t="inlineStr">
        <is>
          <t>10.1200/JCO.2025.43.16_suppl.1563</t>
        </is>
      </c>
      <c r="F33" s="3" t="inlineStr">
        <is>
          <t>N</t>
        </is>
      </c>
      <c r="G33" s="3" t="inlineStr"/>
      <c r="H33" s="3" t="inlineStr"/>
      <c r="I33" s="3" t="inlineStr"/>
      <c r="J33" s="2">
        <f>COUNTIF(F33:I33,"Y")</f>
        <v/>
      </c>
      <c r="K33" s="2">
        <f>IF(J33=1,INDEX($F$1:$I$1,MATCH("Y",F33:I33,0)),"")</f>
        <v/>
      </c>
      <c r="L33" s="2" t="inlineStr">
        <is>
          <t>T3 Multi-agent LLM systems</t>
        </is>
      </c>
      <c r="M33" s="2" t="inlineStr">
        <is>
          <t>Recent</t>
        </is>
      </c>
      <c r="N33" s="2" t="inlineStr">
        <is>
          <t>ASCO abstract: multi-agent VTB</t>
        </is>
      </c>
      <c r="O33" s="2" t="inlineStr">
        <is>
          <t>Lab2 repo</t>
        </is>
      </c>
      <c r="P33" s="2" t="inlineStr"/>
      <c r="Q33" s="2" t="inlineStr"/>
    </row>
    <row r="34">
      <c r="A34" s="2" t="inlineStr">
        <is>
          <t>P33</t>
        </is>
      </c>
      <c r="B34" s="2" t="inlineStr">
        <is>
          <t>Tumor Board-Inspired Multiagent Artificial Intelligence System for Interpreting Oncology Guidelines</t>
        </is>
      </c>
      <c r="C34" s="2" t="inlineStr"/>
      <c r="D34" s="2" t="n">
        <v>2025</v>
      </c>
      <c r="E34" s="2" t="inlineStr">
        <is>
          <t>10.1200/CCI-25-00286</t>
        </is>
      </c>
      <c r="F34" s="3" t="inlineStr">
        <is>
          <t>N</t>
        </is>
      </c>
      <c r="G34" s="3" t="inlineStr"/>
      <c r="H34" s="3" t="inlineStr"/>
      <c r="I34" s="3" t="inlineStr"/>
      <c r="J34" s="2">
        <f>COUNTIF(F34:I34,"Y")</f>
        <v/>
      </c>
      <c r="K34" s="2">
        <f>IF(J34=1,INDEX($F$1:$I$1,MATCH("Y",F34:I34,0)),"")</f>
        <v/>
      </c>
      <c r="L34" s="2" t="inlineStr">
        <is>
          <t>T3 Multi-agent LLM systems</t>
        </is>
      </c>
      <c r="M34" s="2" t="inlineStr">
        <is>
          <t>Recent</t>
        </is>
      </c>
      <c r="N34" s="2" t="inlineStr">
        <is>
          <t>Multi-agent guideline interpretation</t>
        </is>
      </c>
      <c r="O34" s="2" t="inlineStr">
        <is>
          <t>Lab2 repo</t>
        </is>
      </c>
      <c r="P34" s="2" t="inlineStr"/>
      <c r="Q34" s="2" t="inlineStr"/>
    </row>
    <row r="35">
      <c r="A35" s="2" t="inlineStr">
        <is>
          <t>P34</t>
        </is>
      </c>
      <c r="B35" s="2" t="inlineStr">
        <is>
          <t>Development, Evaluation, and Deployment of a Multi-Agent System for Thoracic Tumor Board</t>
        </is>
      </c>
      <c r="C35" s="2" t="inlineStr"/>
      <c r="D35" s="2" t="n">
        <v>2026</v>
      </c>
      <c r="E35" s="2" t="inlineStr">
        <is>
          <t>arXiv:2604.12161</t>
        </is>
      </c>
      <c r="F35" s="3" t="inlineStr">
        <is>
          <t>N</t>
        </is>
      </c>
      <c r="G35" s="3" t="inlineStr"/>
      <c r="H35" s="3" t="inlineStr"/>
      <c r="I35" s="3" t="inlineStr"/>
      <c r="J35" s="2">
        <f>COUNTIF(F35:I35,"Y")</f>
        <v/>
      </c>
      <c r="K35" s="2">
        <f>IF(J35=1,INDEX($F$1:$I$1,MATCH("Y",F35:I35,0)),"")</f>
        <v/>
      </c>
      <c r="L35" s="2" t="inlineStr">
        <is>
          <t>T3 Multi-agent LLM systems</t>
        </is>
      </c>
      <c r="M35" s="2" t="inlineStr">
        <is>
          <t>Recent</t>
        </is>
      </c>
      <c r="N35" s="2" t="inlineStr">
        <is>
          <t>Deployed thoracic MAS; closest to real use</t>
        </is>
      </c>
      <c r="O35" s="2" t="inlineStr">
        <is>
          <t>Lab2 repo</t>
        </is>
      </c>
      <c r="P35" s="2" t="inlineStr"/>
      <c r="Q35" s="2" t="inlineStr"/>
    </row>
    <row r="36">
      <c r="A36" s="2" t="inlineStr">
        <is>
          <t>P35</t>
        </is>
      </c>
      <c r="B36" s="2" t="inlineStr">
        <is>
          <t>VISTA Architect: A graph database-oriented health AI system demonstrated in multidisciplinary tumor boards</t>
        </is>
      </c>
      <c r="C36" s="2" t="inlineStr"/>
      <c r="D36" s="2" t="n">
        <v>2026</v>
      </c>
      <c r="E36" s="2" t="inlineStr">
        <is>
          <t>arXiv:2606.22692</t>
        </is>
      </c>
      <c r="F36" s="3" t="inlineStr">
        <is>
          <t>N</t>
        </is>
      </c>
      <c r="G36" s="3" t="inlineStr"/>
      <c r="H36" s="3" t="inlineStr"/>
      <c r="I36" s="3" t="inlineStr"/>
      <c r="J36" s="2">
        <f>COUNTIF(F36:I36,"Y")</f>
        <v/>
      </c>
      <c r="K36" s="2">
        <f>IF(J36=1,INDEX($F$1:$I$1,MATCH("Y",F36:I36,0)),"")</f>
        <v/>
      </c>
      <c r="L36" s="2" t="inlineStr">
        <is>
          <t>T3 Multi-agent LLM systems</t>
        </is>
      </c>
      <c r="M36" s="2" t="inlineStr">
        <is>
          <t>Recent</t>
        </is>
      </c>
      <c r="N36" s="2" t="inlineStr">
        <is>
          <t>Graph-DB architecture for MTB AI</t>
        </is>
      </c>
      <c r="O36" s="2" t="inlineStr">
        <is>
          <t>Lab2 repo</t>
        </is>
      </c>
      <c r="P36" s="2" t="inlineStr"/>
      <c r="Q36" s="2" t="inlineStr"/>
    </row>
    <row r="37">
      <c r="A37" s="2" t="inlineStr">
        <is>
          <t>P36</t>
        </is>
      </c>
      <c r="B37" s="2" t="inlineStr">
        <is>
          <t>TumorBoard: Evidence-Grounded Multi-Agent Decision Support for Longitudinal Neuro-Oncology</t>
        </is>
      </c>
      <c r="C37" s="2" t="inlineStr"/>
      <c r="D37" s="2" t="n">
        <v>2026</v>
      </c>
      <c r="E37" s="2" t="inlineStr">
        <is>
          <t>arXiv:2608.03190</t>
        </is>
      </c>
      <c r="F37" s="3" t="inlineStr">
        <is>
          <t>N</t>
        </is>
      </c>
      <c r="G37" s="3" t="inlineStr"/>
      <c r="H37" s="3" t="inlineStr"/>
      <c r="I37" s="3" t="inlineStr"/>
      <c r="J37" s="2">
        <f>COUNTIF(F37:I37,"Y")</f>
        <v/>
      </c>
      <c r="K37" s="2">
        <f>IF(J37=1,INDEX($F$1:$I$1,MATCH("Y",F37:I37,0)),"")</f>
        <v/>
      </c>
      <c r="L37" s="2" t="inlineStr">
        <is>
          <t>T3 Multi-agent LLM systems</t>
        </is>
      </c>
      <c r="M37" s="2" t="inlineStr">
        <is>
          <t>Recent</t>
        </is>
      </c>
      <c r="N37" s="2" t="inlineStr">
        <is>
          <t>Evidence-grounded longitudinal MAS</t>
        </is>
      </c>
      <c r="O37" s="2" t="inlineStr">
        <is>
          <t>Lab2 repo</t>
        </is>
      </c>
      <c r="P37" s="2" t="inlineStr"/>
      <c r="Q37" s="2" t="inlineStr"/>
    </row>
    <row r="38">
      <c r="A38" s="2" t="inlineStr">
        <is>
          <t>P37</t>
        </is>
      </c>
      <c r="B38" s="2" t="inlineStr">
        <is>
          <t>Artificial intelligence-driven virtual tumor board enhances precision care in myelodysplastic syndromes</t>
        </is>
      </c>
      <c r="C38" s="2" t="inlineStr"/>
      <c r="D38" s="2" t="n">
        <v>2026</v>
      </c>
      <c r="E38" s="2" t="inlineStr">
        <is>
          <t>medRxiv 2026.03.26.26349088</t>
        </is>
      </c>
      <c r="F38" s="3" t="inlineStr">
        <is>
          <t>N</t>
        </is>
      </c>
      <c r="G38" s="3" t="inlineStr"/>
      <c r="H38" s="3" t="inlineStr"/>
      <c r="I38" s="3" t="inlineStr"/>
      <c r="J38" s="2">
        <f>COUNTIF(F38:I38,"Y")</f>
        <v/>
      </c>
      <c r="K38" s="2">
        <f>IF(J38=1,INDEX($F$1:$I$1,MATCH("Y",F38:I38,0)),"")</f>
        <v/>
      </c>
      <c r="L38" s="2" t="inlineStr">
        <is>
          <t>T3 Multi-agent LLM systems</t>
        </is>
      </c>
      <c r="M38" s="2" t="inlineStr">
        <is>
          <t>Recent</t>
        </is>
      </c>
      <c r="N38" s="2" t="inlineStr">
        <is>
          <t>Haematologic AI-VTB (preprint)</t>
        </is>
      </c>
      <c r="O38" s="2" t="inlineStr">
        <is>
          <t>Lab2 repo</t>
        </is>
      </c>
      <c r="P38" s="2" t="inlineStr"/>
      <c r="Q38" s="2" t="inlineStr"/>
    </row>
    <row r="39">
      <c r="A39" s="2" t="inlineStr">
        <is>
          <t>P38</t>
        </is>
      </c>
      <c r="B39" s="2" t="inlineStr">
        <is>
          <t>Simulating a virtual tumor board with large language models: a pilot study in NSCLC patients receiving immunotherapy</t>
        </is>
      </c>
      <c r="C39" s="2" t="inlineStr"/>
      <c r="D39" s="2" t="n">
        <v>2025</v>
      </c>
      <c r="E39" s="2" t="inlineStr">
        <is>
          <t>10.1080/1750743X.2025.2580272</t>
        </is>
      </c>
      <c r="F39" s="3" t="inlineStr">
        <is>
          <t>N</t>
        </is>
      </c>
      <c r="G39" s="3" t="inlineStr"/>
      <c r="H39" s="3" t="inlineStr"/>
      <c r="I39" s="3" t="inlineStr"/>
      <c r="J39" s="2">
        <f>COUNTIF(F39:I39,"Y")</f>
        <v/>
      </c>
      <c r="K39" s="2">
        <f>IF(J39=1,INDEX($F$1:$I$1,MATCH("Y",F39:I39,0)),"")</f>
        <v/>
      </c>
      <c r="L39" s="2" t="inlineStr">
        <is>
          <t>T3 Multi-agent LLM systems</t>
        </is>
      </c>
      <c r="M39" s="2" t="inlineStr">
        <is>
          <t>Recent</t>
        </is>
      </c>
      <c r="N39" s="2" t="inlineStr">
        <is>
          <t>LLM-simulated VTB pilot, NSCLC</t>
        </is>
      </c>
      <c r="O39" s="2" t="inlineStr">
        <is>
          <t>Lab2 repo</t>
        </is>
      </c>
      <c r="P39" s="2" t="inlineStr"/>
      <c r="Q39" s="2" t="inlineStr"/>
    </row>
  </sheetData>
  <autoFilter ref="A1:Q39"/>
  <conditionalFormatting sqref="F2:I79">
    <cfRule type="cellIs" priority="1" operator="equal" dxfId="0">
      <formula>"Y"</formula>
    </cfRule>
  </conditionalFormatting>
  <dataValidations count="1">
    <dataValidation sqref="F2:I79 P2:P7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26" customWidth="1" min="4" max="4"/>
  </cols>
  <sheetData>
    <row r="1">
      <c r="A1" s="4" t="inlineStr">
        <is>
          <t>Tool</t>
        </is>
      </c>
      <c r="B1" s="4" t="inlineStr">
        <is>
          <t>Papers found (all candidates)</t>
        </is>
      </c>
      <c r="C1" s="4" t="inlineStr">
        <is>
          <t>Papers found (Included=Y)</t>
        </is>
      </c>
      <c r="D1" s="4" t="inlineStr">
        <is>
          <t>Unique to tool (Included=Y)</t>
        </is>
      </c>
    </row>
    <row r="2">
      <c r="A2" t="inlineStr">
        <is>
          <t>ResearchRabbit</t>
        </is>
      </c>
      <c r="B2">
        <f>COUNTIF('Literature Set'!F2:F200,"Y")</f>
        <v/>
      </c>
      <c r="C2">
        <f>COUNTIFS('Literature Set'!F2:F200,"Y",'Literature Set'!P2:P200,"Y")</f>
        <v/>
      </c>
      <c r="D2">
        <f>COUNTIFS('Literature Set'!K2:K200,"Found by ResearchRabbit",'Literature Set'!P2:P200,"Y")</f>
        <v/>
      </c>
    </row>
    <row r="3">
      <c r="A3" t="inlineStr">
        <is>
          <t>Litmaps</t>
        </is>
      </c>
      <c r="B3">
        <f>COUNTIF('Literature Set'!G2:G200,"Y")</f>
        <v/>
      </c>
      <c r="C3">
        <f>COUNTIFS('Literature Set'!G2:G200,"Y",'Literature Set'!P2:P200,"Y")</f>
        <v/>
      </c>
      <c r="D3">
        <f>COUNTIFS('Literature Set'!K2:K200,"Found by Litmaps",'Literature Set'!P2:P200,"Y")</f>
        <v/>
      </c>
    </row>
    <row r="4">
      <c r="A4" t="inlineStr">
        <is>
          <t>Semantic Scholar</t>
        </is>
      </c>
      <c r="B4">
        <f>COUNTIF('Literature Set'!H2:H200,"Y")</f>
        <v/>
      </c>
      <c r="C4">
        <f>COUNTIFS('Literature Set'!H2:H200,"Y",'Literature Set'!P2:P200,"Y")</f>
        <v/>
      </c>
      <c r="D4">
        <f>COUNTIFS('Literature Set'!K2:K200,"Found by Semantic Scholar",'Literature Set'!P2:P200,"Y")</f>
        <v/>
      </c>
    </row>
    <row r="5">
      <c r="A5" t="inlineStr">
        <is>
          <t>Elicit</t>
        </is>
      </c>
      <c r="B5">
        <f>COUNTIF('Literature Set'!I2:I200,"Y")</f>
        <v/>
      </c>
      <c r="C5">
        <f>COUNTIFS('Literature Set'!I2:I200,"Y",'Literature Set'!P2:P200,"Y")</f>
        <v/>
      </c>
      <c r="D5">
        <f>COUNTIFS('Literature Set'!K2:K200,"Found by Elicit",'Literature Set'!P2:P200,"Y")</f>
        <v/>
      </c>
    </row>
    <row r="7">
      <c r="A7" t="inlineStr">
        <is>
          <t>Total candidates</t>
        </is>
      </c>
      <c r="B7">
        <f>COUNTA('Literature Set'!A2:A200)</f>
        <v/>
      </c>
    </row>
    <row r="8">
      <c r="A8" t="inlineStr">
        <is>
          <t>Included</t>
        </is>
      </c>
      <c r="B8">
        <f>COUNTIF('Literature Set'!P2:P200,"Y")</f>
        <v/>
      </c>
    </row>
    <row r="10">
      <c r="A10" t="inlineStr">
        <is>
          <t>Theme</t>
        </is>
      </c>
      <c r="B10" t="inlineStr">
        <is>
          <t>Candidates</t>
        </is>
      </c>
      <c r="C10" t="inlineStr">
        <is>
          <t>Included</t>
        </is>
      </c>
    </row>
    <row r="11">
      <c r="A11" t="inlineStr">
        <is>
          <t>T1 MTB/VTB foundations &amp; implementation</t>
        </is>
      </c>
      <c r="B11">
        <f>COUNTIF('Literature Set'!L2:L200,"T1 MTB/VTB foundations &amp; implementation")</f>
        <v/>
      </c>
      <c r="C11">
        <f>COUNTIFS('Literature Set'!L2:L200,"T1 MTB/VTB foundations &amp; implementation",'Literature Set'!P2:P200,"Y")</f>
        <v/>
      </c>
    </row>
    <row r="12">
      <c r="A12" t="inlineStr">
        <is>
          <t>T2 Single-LLM vs MTB concordance</t>
        </is>
      </c>
      <c r="B12">
        <f>COUNTIF('Literature Set'!L2:L200,"T2 Single-LLM vs MTB concordance")</f>
        <v/>
      </c>
      <c r="C12">
        <f>COUNTIFS('Literature Set'!L2:L200,"T2 Single-LLM vs MTB concordance",'Literature Set'!P2:P200,"Y")</f>
        <v/>
      </c>
    </row>
    <row r="13">
      <c r="A13" t="inlineStr">
        <is>
          <t>T3 Multi-agent LLM systems</t>
        </is>
      </c>
      <c r="B13">
        <f>COUNTIF('Literature Set'!L2:L200,"T3 Multi-agent LLM systems")</f>
        <v/>
      </c>
      <c r="C13">
        <f>COUNTIFS('Literature Set'!L2:L200,"T3 Multi-agent LLM systems",'Literature Set'!P2:P200,"Y")</f>
        <v/>
      </c>
    </row>
    <row r="14">
      <c r="A14" t="inlineStr">
        <is>
          <t>T4 Evaluation &amp; benchmarks</t>
        </is>
      </c>
      <c r="B14">
        <f>COUNTIF('Literature Set'!L2:L200,"T4 Evaluation &amp; benchmarks")</f>
        <v/>
      </c>
      <c r="C14">
        <f>COUNTIFS('Literature Set'!L2:L200,"T4 Evaluation &amp; benchmarks",'Literature Set'!P2:P200,"Y")</f>
        <v/>
      </c>
    </row>
    <row r="15">
      <c r="A15" t="inlineStr">
        <is>
          <t>T5 Ethics, accountability, trust</t>
        </is>
      </c>
      <c r="B15">
        <f>COUNTIF('Literature Set'!L2:L200,"T5 Ethics, accountability, trust")</f>
        <v/>
      </c>
      <c r="C15">
        <f>COUNTIFS('Literature Set'!L2:L200,"T5 Ethics, accountability, trust",'Literature Set'!P2:P200,"Y")</f>
        <v/>
      </c>
    </row>
    <row r="17">
      <c r="A17" t="inlineStr">
        <is>
          <t>Type</t>
        </is>
      </c>
      <c r="B17" t="inlineStr">
        <is>
          <t>Candidates</t>
        </is>
      </c>
      <c r="C17" t="inlineStr">
        <is>
          <t>Included</t>
        </is>
      </c>
    </row>
    <row r="18">
      <c r="A18" t="inlineStr">
        <is>
          <t>Foundational</t>
        </is>
      </c>
      <c r="B18">
        <f>COUNTIF('Literature Set'!M2:M200,"Foundational")</f>
        <v/>
      </c>
      <c r="C18">
        <f>COUNTIFS('Literature Set'!M2:M200,"Foundational",'Literature Set'!P2:P200,"Y")</f>
        <v/>
      </c>
    </row>
    <row r="19">
      <c r="A19" t="inlineStr">
        <is>
          <t>Influential</t>
        </is>
      </c>
      <c r="B19">
        <f>COUNTIF('Literature Set'!M2:M200,"Influential")</f>
        <v/>
      </c>
      <c r="C19">
        <f>COUNTIFS('Literature Set'!M2:M200,"Influential",'Literature Set'!P2:P200,"Y")</f>
        <v/>
      </c>
    </row>
    <row r="20">
      <c r="A20" t="inlineStr">
        <is>
          <t>Recent</t>
        </is>
      </c>
      <c r="B20">
        <f>COUNTIF('Literature Set'!M2:M200,"Recent")</f>
        <v/>
      </c>
      <c r="C20">
        <f>COUNTIFS('Literature Set'!M2:M200,"Recent",'Literature Set'!P2:P200,"Y")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Tick Y in a tool's column for EVERY paper that tool surfaced (even if already in the sheet). Leave blank until you've run that tool.</t>
        </is>
      </c>
    </row>
    <row r="2">
      <c r="A2" t="inlineStr">
        <is>
          <t>Add new papers at the bottom (P39, P40...). Copy the # Tools and Unique formulas down.</t>
        </is>
      </c>
    </row>
    <row r="3">
      <c r="A3" t="inlineStr">
        <is>
          <t>Set Included? = Y for the final 25-30 papers. Tool Summary then gives Part E numbers automatically.</t>
        </is>
      </c>
    </row>
    <row r="4">
      <c r="A4" t="inlineStr">
        <is>
          <t>Found by ResearchRabbit is pre-filled from the Lab 3 collection (21 papers). Lab 2 papers are candidates only - they count for a tool only once that tool actually returns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2026-09-27T19:43:06Z</dcterms:created>
  <dcterms:modified xmlns:dcterms="http://purl.org/dc/terms/" xmlns:xsi="http://www.w3.org/2001/XMLSchema-instance" xsi:type="dcterms:W3CDTF">2026-09-27T19:43:06Z</dcterms:modified>
</cp:coreProperties>
</file>